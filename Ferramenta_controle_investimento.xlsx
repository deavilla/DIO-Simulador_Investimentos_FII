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azi\Downloads\"/>
    </mc:Choice>
  </mc:AlternateContent>
  <xr:revisionPtr revIDLastSave="0" documentId="13_ncr:1_{9E7338E6-134E-4BF2-81F9-9E5F02888733}" xr6:coauthVersionLast="47" xr6:coauthVersionMax="47" xr10:uidLastSave="{00000000-0000-0000-0000-000000000000}"/>
  <bookViews>
    <workbookView xWindow="-120" yWindow="-120" windowWidth="24240" windowHeight="13020" xr2:uid="{F9C73B0E-3FD5-44F7-AFD3-8A2BB0B18D1A}"/>
  </bookViews>
  <sheets>
    <sheet name="Ferramenta" sheetId="1" r:id="rId1"/>
    <sheet name="Apoio" sheetId="2" r:id="rId2"/>
  </sheets>
  <definedNames>
    <definedName name="aporte">Ferramenta!$D$21</definedName>
    <definedName name="patrimonio">Ferramenta!$D$24</definedName>
    <definedName name="qtd_anos">Ferramenta!$D$22</definedName>
    <definedName name="rendimento_carteira">Ferramenta!$D$16</definedName>
    <definedName name="salario">Ferramenta!$D$15</definedName>
    <definedName name="sujestao_investimento">Ferramenta!$D$17</definedName>
    <definedName name="taxa_mensal">Ferramenta!$D$23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41" i="1"/>
  <c r="C42" i="1"/>
  <c r="C43" i="1"/>
  <c r="C44" i="1"/>
  <c r="C45" i="1"/>
  <c r="B25" i="2"/>
  <c r="B26" i="2"/>
  <c r="B27" i="2"/>
  <c r="B28" i="2"/>
  <c r="B29" i="2"/>
  <c r="B30" i="2"/>
  <c r="B20" i="2"/>
  <c r="B21" i="2"/>
  <c r="B22" i="2"/>
  <c r="B23" i="2"/>
  <c r="B24" i="2"/>
  <c r="B19" i="2"/>
  <c r="B14" i="2"/>
  <c r="B15" i="2"/>
  <c r="B16" i="2"/>
  <c r="B17" i="2"/>
  <c r="B18" i="2"/>
  <c r="B13" i="2"/>
  <c r="C37" i="1"/>
  <c r="D24" i="1"/>
  <c r="D25" i="1" s="1"/>
  <c r="D17" i="1"/>
  <c r="C30" i="1"/>
  <c r="D30" i="1" s="1"/>
  <c r="C31" i="1"/>
  <c r="D31" i="1" s="1"/>
  <c r="C32" i="1"/>
  <c r="D32" i="1" s="1"/>
  <c r="C33" i="1"/>
  <c r="D33" i="1" s="1"/>
  <c r="C29" i="1"/>
  <c r="D29" i="1" s="1"/>
  <c r="D43" i="1" l="1"/>
  <c r="D42" i="1"/>
  <c r="D45" i="1"/>
  <c r="D41" i="1"/>
  <c r="D44" i="1"/>
  <c r="D40" i="1"/>
  <c r="D46" i="1" l="1"/>
</calcChain>
</file>

<file path=xl/sharedStrings.xml><?xml version="1.0" encoding="utf-8"?>
<sst xmlns="http://schemas.openxmlformats.org/spreadsheetml/2006/main" count="99" uniqueCount="64">
  <si>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</si>
  <si>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</si>
  <si>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</si>
  <si>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</si>
  <si>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</si>
  <si>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</si>
  <si>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</si>
  <si>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</si>
  <si>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</si>
  <si>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</si>
  <si>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</si>
  <si>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</si>
  <si>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</si>
  <si>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</si>
  <si>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</si>
  <si>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</si>
  <si>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Tabela Comparativa de Tipos de FIIs</t>
  </si>
  <si>
    <t>Tipo de Fundo </t>
  </si>
  <si>
    <t>Ativos Principais</t>
  </si>
  <si>
    <t>Fontes de Renda</t>
  </si>
  <si>
    <t>Exemplos (Códigos)</t>
  </si>
  <si>
    <t>Tijolo</t>
  </si>
  <si>
    <t>Imóveis Físicos (Shoppings, Galpões, Lajes Corporativas)</t>
  </si>
  <si>
    <t>Aluguéis, Venda de Imóveis</t>
  </si>
  <si>
    <t>HGLG11, XPML11, BRCO11</t>
  </si>
  <si>
    <t>Papel</t>
  </si>
  <si>
    <t>Certificados de Recebíveis Imobiliários (CRIs, LCIs, LHs)</t>
  </si>
  <si>
    <t>Juros e Correção Monetária (IPCA/CDI)</t>
  </si>
  <si>
    <t>KNCR11, IRDM11, BCRI11</t>
  </si>
  <si>
    <t>Híbrido</t>
  </si>
  <si>
    <t>Mix de Tijolo (Imóveis) e Papel (Recebíveis)</t>
  </si>
  <si>
    <t>Aluguéis + Juros/Inflação</t>
  </si>
  <si>
    <t>Combinação dos dois</t>
  </si>
  <si>
    <t>Fundo de Fundos (FoFs)</t>
  </si>
  <si>
    <t>Cotas de outros FIIs, CRIs, LCIs</t>
  </si>
  <si>
    <t>Rendimentos de outros Fundos</t>
  </si>
  <si>
    <t>BCFF11, HFOF11</t>
  </si>
  <si>
    <t>Desenvolvimento</t>
  </si>
  <si>
    <t>Terrenos, Imóveis em Construção</t>
  </si>
  <si>
    <t>Venda de Imóveis Novos</t>
  </si>
  <si>
    <t>(Menos comuns, foco em lucro da obra)</t>
  </si>
  <si>
    <t>Fiagro</t>
  </si>
  <si>
    <t>Certificados de Recebíveis do Agronegócio (CRAs)</t>
  </si>
  <si>
    <t>Juros/Inflação do Agronegócio</t>
  </si>
  <si>
    <t>BTAL11 (exemplo Agro)</t>
  </si>
  <si>
    <t>Perfil</t>
  </si>
  <si>
    <t>AGRESSIVO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</si>
  <si>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</si>
  <si>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</si>
  <si>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</si>
  <si>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</si>
  <si>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</si>
  <si>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</si>
  <si>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</si>
  <si>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</si>
  <si>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</si>
  <si>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</si>
  <si>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</si>
  <si>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</si>
  <si>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</si>
  <si>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</si>
  <si>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</si>
  <si>
    <t>Sujestão Investimento (30%)</t>
  </si>
  <si>
    <t>SIMULADOR DE INVESTIMENTOS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</si>
</sst>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Segoe UI Black"/>
      <family val="2"/>
    </font>
    <font>
      <b/>
      <sz val="12"/>
      <color theme="0"/>
      <name val="Segoe UI Black"/>
      <family val="2"/>
    </font>
    <font>
      <b/>
      <sz val="20"/>
      <color theme="0"/>
      <name val="Segoe UI Black"/>
      <family val="2"/>
    </font>
    <font>
      <b/>
      <sz val="14"/>
      <color theme="0"/>
      <name val="Segoe UI Black"/>
      <family val="2"/>
    </font>
    <font>
      <sz val="12"/>
      <color theme="1"/>
      <name val="Segoe UI"/>
      <family val="2"/>
    </font>
    <font>
      <b/>
      <sz val="13"/>
      <color theme="1"/>
      <name val="Segoe UI"/>
      <family val="2"/>
    </font>
    <font>
      <b/>
      <sz val="12"/>
      <color theme="1"/>
      <name val="Segoe UI"/>
      <family val="2"/>
    </font>
    <font>
      <sz val="15"/>
      <color rgb="FF001D35"/>
      <name val="Arial"/>
      <family val="2"/>
    </font>
    <font>
      <b/>
      <sz val="11"/>
      <color theme="1"/>
      <name val="Arial"/>
      <family val="2"/>
    </font>
    <font>
      <sz val="11"/>
      <color rgb="FF0A0A0A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10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2" fillId="5" borderId="0" xfId="0" applyFont="1" applyFill="1" applyAlignment="1">
      <alignment horizontal="center" vertical="center"/>
    </xf>
    <xf numFmtId="0" fontId="3" fillId="5" borderId="0" xfId="0" applyFont="1" applyFill="1"/>
    <xf numFmtId="8" fontId="3" fillId="5" borderId="0" xfId="0" applyNumberFormat="1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/>
    </xf>
    <xf numFmtId="10" fontId="10" fillId="0" borderId="24" xfId="0" applyNumberFormat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8" fontId="10" fillId="4" borderId="24" xfId="0" applyNumberFormat="1" applyFont="1" applyFill="1" applyBorder="1" applyAlignment="1">
      <alignment horizontal="center" vertical="center"/>
    </xf>
    <xf numFmtId="8" fontId="10" fillId="4" borderId="27" xfId="0" applyNumberFormat="1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left" vertical="top" indent="4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13" xfId="0" applyNumberFormat="1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left" vertical="top" indent="4"/>
    </xf>
    <xf numFmtId="164" fontId="10" fillId="4" borderId="11" xfId="0" applyNumberFormat="1" applyFont="1" applyFill="1" applyBorder="1" applyAlignment="1">
      <alignment horizontal="center" vertical="center"/>
    </xf>
    <xf numFmtId="164" fontId="10" fillId="4" borderId="15" xfId="0" applyNumberFormat="1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left" vertical="top" indent="4"/>
    </xf>
    <xf numFmtId="164" fontId="10" fillId="4" borderId="17" xfId="0" applyNumberFormat="1" applyFont="1" applyFill="1" applyBorder="1" applyAlignment="1">
      <alignment horizontal="center" vertical="center"/>
    </xf>
    <xf numFmtId="164" fontId="10" fillId="4" borderId="18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top" wrapText="1" indent="1"/>
    </xf>
    <xf numFmtId="0" fontId="14" fillId="0" borderId="7" xfId="0" applyFont="1" applyBorder="1" applyAlignment="1">
      <alignment vertical="top" wrapText="1" indent="1"/>
    </xf>
    <xf numFmtId="0" fontId="13" fillId="0" borderId="31" xfId="0" applyFont="1" applyBorder="1" applyAlignment="1">
      <alignment horizontal="left" vertical="top" wrapText="1" indent="1"/>
    </xf>
    <xf numFmtId="0" fontId="13" fillId="0" borderId="32" xfId="0" applyFont="1" applyBorder="1" applyAlignment="1">
      <alignment horizontal="left" vertical="top" wrapText="1"/>
    </xf>
    <xf numFmtId="0" fontId="15" fillId="0" borderId="31" xfId="2" applyBorder="1" applyAlignment="1">
      <alignment vertical="top" wrapText="1" indent="1"/>
    </xf>
    <xf numFmtId="0" fontId="14" fillId="0" borderId="32" xfId="0" applyFont="1" applyBorder="1" applyAlignment="1">
      <alignment vertical="top" wrapText="1"/>
    </xf>
    <xf numFmtId="0" fontId="15" fillId="0" borderId="33" xfId="2" applyBorder="1" applyAlignment="1">
      <alignment vertical="top" wrapText="1" indent="1"/>
    </xf>
    <xf numFmtId="0" fontId="14" fillId="0" borderId="34" xfId="0" applyFont="1" applyBorder="1" applyAlignment="1">
      <alignment vertical="top" wrapText="1" indent="1"/>
    </xf>
    <xf numFmtId="0" fontId="14" fillId="0" borderId="35" xfId="0" applyFont="1" applyBorder="1" applyAlignment="1">
      <alignment vertical="top" wrapText="1"/>
    </xf>
    <xf numFmtId="9" fontId="0" fillId="0" borderId="0" xfId="0" applyNumberFormat="1"/>
    <xf numFmtId="0" fontId="4" fillId="2" borderId="1" xfId="1" applyFont="1" applyBorder="1" applyAlignment="1">
      <alignment horizontal="left" vertical="center"/>
    </xf>
    <xf numFmtId="0" fontId="4" fillId="2" borderId="8" xfId="1" applyFont="1" applyBorder="1" applyAlignment="1">
      <alignment horizontal="center" vertical="center"/>
    </xf>
    <xf numFmtId="0" fontId="1" fillId="2" borderId="2" xfId="1" applyBorder="1" applyAlignment="1">
      <alignment vertical="center"/>
    </xf>
    <xf numFmtId="0" fontId="9" fillId="0" borderId="3" xfId="0" applyFont="1" applyBorder="1"/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9" fillId="4" borderId="4" xfId="0" applyNumberFormat="1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left" vertical="center"/>
    </xf>
    <xf numFmtId="0" fontId="16" fillId="0" borderId="31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7" fillId="4" borderId="37" xfId="0" applyFont="1" applyFill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9" fontId="9" fillId="0" borderId="32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9" fontId="9" fillId="0" borderId="3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9" fillId="0" borderId="37" xfId="0" applyFont="1" applyBorder="1" applyAlignment="1">
      <alignment horizontal="center" vertical="center"/>
    </xf>
    <xf numFmtId="9" fontId="9" fillId="0" borderId="38" xfId="0" applyNumberFormat="1" applyFont="1" applyBorder="1" applyAlignment="1">
      <alignment horizontal="center" vertical="top"/>
    </xf>
    <xf numFmtId="0" fontId="16" fillId="0" borderId="7" xfId="0" applyFont="1" applyBorder="1" applyAlignment="1">
      <alignment horizontal="center"/>
    </xf>
    <xf numFmtId="9" fontId="9" fillId="0" borderId="32" xfId="0" applyNumberFormat="1" applyFont="1" applyBorder="1" applyAlignment="1">
      <alignment horizontal="center" vertical="top"/>
    </xf>
    <xf numFmtId="0" fontId="16" fillId="0" borderId="34" xfId="0" applyFont="1" applyBorder="1" applyAlignment="1">
      <alignment horizontal="center"/>
    </xf>
    <xf numFmtId="9" fontId="9" fillId="0" borderId="35" xfId="0" applyNumberFormat="1" applyFont="1" applyBorder="1" applyAlignment="1">
      <alignment horizontal="center" vertical="top"/>
    </xf>
    <xf numFmtId="0" fontId="16" fillId="0" borderId="36" xfId="0" applyFont="1" applyBorder="1" applyAlignment="1">
      <alignment horizontal="left"/>
    </xf>
    <xf numFmtId="0" fontId="16" fillId="0" borderId="39" xfId="0" applyFont="1" applyBorder="1" applyAlignment="1">
      <alignment horizontal="left"/>
    </xf>
    <xf numFmtId="0" fontId="15" fillId="0" borderId="0" xfId="2" applyBorder="1" applyAlignment="1">
      <alignment vertical="top" wrapText="1" indent="1"/>
    </xf>
    <xf numFmtId="0" fontId="14" fillId="0" borderId="0" xfId="0" applyFont="1" applyAlignment="1">
      <alignment vertical="top" wrapText="1" indent="1"/>
    </xf>
    <xf numFmtId="0" fontId="14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left" vertical="top" indent="4"/>
    </xf>
    <xf numFmtId="0" fontId="9" fillId="4" borderId="19" xfId="0" applyFont="1" applyFill="1" applyBorder="1" applyAlignment="1">
      <alignment horizontal="left" vertical="top" indent="4"/>
    </xf>
    <xf numFmtId="0" fontId="9" fillId="4" borderId="23" xfId="0" applyFont="1" applyFill="1" applyBorder="1" applyAlignment="1">
      <alignment horizontal="left" vertical="top" indent="4"/>
    </xf>
    <xf numFmtId="0" fontId="9" fillId="4" borderId="20" xfId="0" applyFont="1" applyFill="1" applyBorder="1" applyAlignment="1">
      <alignment horizontal="left" vertical="top" indent="4"/>
    </xf>
    <xf numFmtId="0" fontId="9" fillId="4" borderId="25" xfId="0" applyFont="1" applyFill="1" applyBorder="1" applyAlignment="1">
      <alignment horizontal="left" vertical="top" indent="4"/>
    </xf>
    <xf numFmtId="0" fontId="9" fillId="4" borderId="26" xfId="0" applyFont="1" applyFill="1" applyBorder="1" applyAlignment="1">
      <alignment horizontal="left" vertical="top" indent="4"/>
    </xf>
    <xf numFmtId="0" fontId="7" fillId="3" borderId="2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top" indent="4"/>
    </xf>
    <xf numFmtId="0" fontId="9" fillId="0" borderId="19" xfId="0" applyFont="1" applyBorder="1" applyAlignment="1">
      <alignment horizontal="left" vertical="top" indent="4"/>
    </xf>
    <xf numFmtId="0" fontId="9" fillId="0" borderId="23" xfId="0" applyFont="1" applyBorder="1" applyAlignment="1">
      <alignment horizontal="left" vertical="top" indent="4"/>
    </xf>
    <xf numFmtId="0" fontId="9" fillId="0" borderId="20" xfId="0" applyFont="1" applyBorder="1" applyAlignment="1">
      <alignment horizontal="left" vertical="top" indent="4"/>
    </xf>
    <xf numFmtId="0" fontId="11" fillId="4" borderId="23" xfId="0" applyFont="1" applyFill="1" applyBorder="1" applyAlignment="1">
      <alignment horizontal="left" vertical="top" indent="4"/>
    </xf>
    <xf numFmtId="0" fontId="11" fillId="4" borderId="20" xfId="0" applyFont="1" applyFill="1" applyBorder="1" applyAlignment="1">
      <alignment horizontal="left" vertical="top" indent="4"/>
    </xf>
    <xf numFmtId="0" fontId="11" fillId="4" borderId="25" xfId="0" applyFont="1" applyFill="1" applyBorder="1" applyAlignment="1">
      <alignment horizontal="left" vertical="top" indent="4"/>
    </xf>
    <xf numFmtId="0" fontId="11" fillId="4" borderId="26" xfId="0" applyFont="1" applyFill="1" applyBorder="1" applyAlignment="1">
      <alignment horizontal="left" vertical="top" indent="4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11" fillId="6" borderId="0" xfId="0" applyFont="1" applyFill="1" applyBorder="1" applyAlignment="1">
      <alignment horizontal="center" vertical="center"/>
    </xf>
    <xf numFmtId="9" fontId="9" fillId="4" borderId="0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9" fillId="6" borderId="0" xfId="0" applyFont="1" applyFill="1" applyBorder="1"/>
    <xf numFmtId="0" fontId="9" fillId="6" borderId="3" xfId="0" applyFont="1" applyFill="1" applyBorder="1"/>
    <xf numFmtId="164" fontId="11" fillId="6" borderId="4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3">
    <cellStyle name="Ênfase2" xfId="1" builtinId="33"/>
    <cellStyle name="Hiperlink" xfId="2" builtinId="8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Ferramenta!$C$39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Ferramenta!$B$40:$B$45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Ferramenta!$C$40:$C$45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3-4678-BF8D-C53B54172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238124</xdr:colOff>
      <xdr:row>0</xdr:row>
      <xdr:rowOff>0</xdr:rowOff>
    </xdr:from>
    <xdr:to>
      <xdr:col>3</xdr:col>
      <xdr:colOff>895349</xdr:colOff>
      <xdr:row>9</xdr:row>
      <xdr:rowOff>114300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A4D3206-4874-B22D-96EC-40F31172F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21" t="22680" r="18041" b="21134"/>
        <a:stretch>
          <a:fillRect/>
        </a:stretch>
      </xdr:blipFill>
      <xdr:spPr>
        <a:xfrm>
          <a:off x="4752974" y="0"/>
          <a:ext cx="2447925" cy="2076450"/>
        </a:xfrm>
        <a:prstGeom prst="rect">
          <a:avLst/>
        </a:prstGeom>
      </xdr:spPr>
    </xdr:pic>
    <xdr:clientData/>
  </xdr:twoCellAnchor>
  <xdr:oneCellAnchor>
    <xdr:from>
      <xdr:col>1</xdr:col>
      <xdr:colOff>704850</xdr:colOff>
      <xdr:row>5</xdr:row>
      <xdr:rowOff>95250</xdr:rowOff>
    </xdr:from>
    <xdr:ext cx="3819525" cy="97155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0104B91-2E89-49F6-B90B-7CA9857588E0}"/>
            </a:ext>
          </a:extLst>
        </xdr:cNvPr>
        <xdr:cNvSpPr txBox="1"/>
      </xdr:nvSpPr>
      <xdr:spPr>
        <a:xfrm>
          <a:off x="1314450" y="1047750"/>
          <a:ext cx="3819525" cy="971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5600" b="1" u="none">
              <a:latin typeface="Arial" panose="020B0604020202020204" pitchFamily="34" charset="0"/>
              <a:cs typeface="Arial" panose="020B0604020202020204" pitchFamily="34" charset="0"/>
            </a:rPr>
            <a:t>Borghese</a:t>
          </a:r>
        </a:p>
      </xdr:txBody>
    </xdr:sp>
    <xdr:clientData/>
  </xdr:oneCellAnchor>
  <xdr:twoCellAnchor>
    <xdr:from>
      <xdr:col>1</xdr:col>
      <xdr:colOff>95250</xdr:colOff>
      <xdr:row>46</xdr:row>
      <xdr:rowOff>19050</xdr:rowOff>
    </xdr:from>
    <xdr:to>
      <xdr:col>3</xdr:col>
      <xdr:colOff>1447800</xdr:colOff>
      <xdr:row>46</xdr:row>
      <xdr:rowOff>3867150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701576-D799-38F4-0C73-090EBCE13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%C3%ADbrid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F" TargetMode="External"/><Relationship Id="rId2" Type="http://schemas.openxmlformats.org/officeDocument/2006/relationships/hyperlink" Target="https://www.google.com/search?q=Papel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E" TargetMode="External"/><Relationship Id="rId1" Type="http://schemas.openxmlformats.org/officeDocument/2006/relationships/hyperlink" Target="https://www.google.com/search?q=Tijol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D" TargetMode="External"/><Relationship Id="rId6" Type="http://schemas.openxmlformats.org/officeDocument/2006/relationships/hyperlink" Target="https://www.google.com/search?q=Fiagr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I" TargetMode="External"/><Relationship Id="rId5" Type="http://schemas.openxmlformats.org/officeDocument/2006/relationships/hyperlink" Target="https://www.google.com/search?q=Desenvolviment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H" TargetMode="External"/><Relationship Id="rId4" Type="http://schemas.openxmlformats.org/officeDocument/2006/relationships/hyperlink" Target="https://www.google.com/search?q=Fundo+de+Fundos+%28FoFs%29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94D6-B006-4BC3-A870-16872BBB2D4D}">
  <dimension ref="A1:G66"/>
  <sheetViews>
    <sheetView showGridLines="0" tabSelected="1" zoomScaleNormal="100" workbookViewId="0">
      <selection activeCell="G50" sqref="G50"/>
    </sheetView>
  </sheetViews>
  <sheetFormatPr defaultColWidth="0" defaultRowHeight="15" zeroHeight="1" x14ac:dyDescent="0.25"/>
  <cols>
    <col min="1" max="1" width="9.140625" customWidth="1"/>
    <col min="2" max="2" width="58.5703125" customWidth="1"/>
    <col min="3" max="3" width="26.85546875" customWidth="1"/>
    <col min="4" max="4" width="24.28515625" customWidth="1"/>
    <col min="5" max="5" width="1.85546875" customWidth="1"/>
    <col min="6" max="6" width="1.7109375" customWidth="1"/>
    <col min="7" max="7" width="7" customWidth="1"/>
    <col min="8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34.5" customHeight="1" x14ac:dyDescent="0.25"/>
    <row r="10" spans="2:4" ht="15.75" thickBot="1" x14ac:dyDescent="0.3"/>
    <row r="11" spans="2:4" ht="45.75" customHeight="1" thickBot="1" x14ac:dyDescent="0.3">
      <c r="B11" s="96" t="s">
        <v>63</v>
      </c>
      <c r="C11" s="97"/>
      <c r="D11" s="98"/>
    </row>
    <row r="12" spans="2:4" ht="15" customHeight="1" x14ac:dyDescent="0.25">
      <c r="B12" s="95"/>
      <c r="C12" s="95"/>
      <c r="D12" s="95"/>
    </row>
    <row r="13" spans="2:4" ht="15.75" thickBot="1" x14ac:dyDescent="0.3"/>
    <row r="14" spans="2:4" ht="39.75" customHeight="1" x14ac:dyDescent="0.25">
      <c r="B14" s="99" t="s">
        <v>13</v>
      </c>
      <c r="C14" s="100"/>
      <c r="D14" s="101"/>
    </row>
    <row r="15" spans="2:4" ht="19.5" thickBot="1" x14ac:dyDescent="0.3">
      <c r="B15" s="67" t="s">
        <v>14</v>
      </c>
      <c r="C15" s="68"/>
      <c r="D15" s="9">
        <v>2000</v>
      </c>
    </row>
    <row r="16" spans="2:4" ht="19.5" thickBot="1" x14ac:dyDescent="0.3">
      <c r="B16" s="69" t="s">
        <v>15</v>
      </c>
      <c r="C16" s="70"/>
      <c r="D16" s="10">
        <v>6.0000000000000001E-3</v>
      </c>
    </row>
    <row r="17" spans="1:7" ht="19.5" thickBot="1" x14ac:dyDescent="0.3">
      <c r="B17" s="71" t="s">
        <v>62</v>
      </c>
      <c r="C17" s="72"/>
      <c r="D17" s="11">
        <f>D15*30%</f>
        <v>600</v>
      </c>
    </row>
    <row r="18" spans="1:7" x14ac:dyDescent="0.25"/>
    <row r="19" spans="1:7" ht="15.75" thickBot="1" x14ac:dyDescent="0.3"/>
    <row r="20" spans="1:7" ht="48" customHeight="1" x14ac:dyDescent="0.25">
      <c r="B20" s="65" t="s">
        <v>5</v>
      </c>
      <c r="C20" s="66"/>
      <c r="D20" s="73"/>
    </row>
    <row r="21" spans="1:7" ht="21" customHeight="1" thickBot="1" x14ac:dyDescent="0.3">
      <c r="B21" s="74" t="s">
        <v>0</v>
      </c>
      <c r="C21" s="75"/>
      <c r="D21" s="9">
        <v>200</v>
      </c>
      <c r="G21" s="3"/>
    </row>
    <row r="22" spans="1:7" ht="21" customHeight="1" thickBot="1" x14ac:dyDescent="0.3">
      <c r="B22" s="76" t="s">
        <v>1</v>
      </c>
      <c r="C22" s="77"/>
      <c r="D22" s="12">
        <v>5</v>
      </c>
    </row>
    <row r="23" spans="1:7" ht="21" customHeight="1" thickBot="1" x14ac:dyDescent="0.3">
      <c r="B23" s="76" t="s">
        <v>2</v>
      </c>
      <c r="C23" s="77"/>
      <c r="D23" s="10">
        <v>1.0789999999999999E-2</v>
      </c>
    </row>
    <row r="24" spans="1:7" ht="21" customHeight="1" thickBot="1" x14ac:dyDescent="0.3">
      <c r="B24" s="78" t="s">
        <v>3</v>
      </c>
      <c r="C24" s="79"/>
      <c r="D24" s="13">
        <f>FV(taxa_mensal,qtd_anos*12,aporte*-1)</f>
        <v>16755.382799697527</v>
      </c>
    </row>
    <row r="25" spans="1:7" ht="21" customHeight="1" thickBot="1" x14ac:dyDescent="0.3">
      <c r="B25" s="80" t="s">
        <v>4</v>
      </c>
      <c r="C25" s="81"/>
      <c r="D25" s="14">
        <f>patrimonio*rendimento_carteira</f>
        <v>100.53229679818516</v>
      </c>
    </row>
    <row r="26" spans="1:7" ht="21" customHeight="1" x14ac:dyDescent="0.3">
      <c r="B26" s="6"/>
      <c r="C26" s="7"/>
    </row>
    <row r="27" spans="1:7" ht="15.75" thickBot="1" x14ac:dyDescent="0.3"/>
    <row r="28" spans="1:7" ht="41.25" customHeight="1" x14ac:dyDescent="0.25">
      <c r="B28" s="65" t="s">
        <v>11</v>
      </c>
      <c r="C28" s="66"/>
      <c r="D28" s="8" t="s">
        <v>12</v>
      </c>
      <c r="E28" s="5"/>
    </row>
    <row r="29" spans="1:7" ht="21.75" customHeight="1" thickBot="1" x14ac:dyDescent="0.3">
      <c r="A29" s="4">
        <v>2</v>
      </c>
      <c r="B29" s="15" t="s">
        <v>6</v>
      </c>
      <c r="C29" s="16">
        <f>FV($D$23,$A29*12,$D$21*-1)</f>
        <v>5445.5254595290435</v>
      </c>
      <c r="D29" s="17">
        <f>C29*rendimento_carteira</f>
        <v>32.673152757174265</v>
      </c>
    </row>
    <row r="30" spans="1:7" ht="21.75" customHeight="1" thickBot="1" x14ac:dyDescent="0.3">
      <c r="A30" s="4">
        <v>5</v>
      </c>
      <c r="B30" s="18" t="s">
        <v>7</v>
      </c>
      <c r="C30" s="19">
        <f>FV($D$23,$A30*12,$D$21*-1)</f>
        <v>16755.382799697527</v>
      </c>
      <c r="D30" s="20">
        <f>C30*rendimento_carteira</f>
        <v>100.53229679818516</v>
      </c>
    </row>
    <row r="31" spans="1:7" ht="21.75" customHeight="1" thickBot="1" x14ac:dyDescent="0.3">
      <c r="A31" s="4">
        <v>10</v>
      </c>
      <c r="B31" s="18" t="s">
        <v>8</v>
      </c>
      <c r="C31" s="19">
        <f>FV($D$23,$A31*12,$D$21*-1)</f>
        <v>48656.842506034438</v>
      </c>
      <c r="D31" s="20">
        <f>C31*rendimento_carteira</f>
        <v>291.94105503620665</v>
      </c>
    </row>
    <row r="32" spans="1:7" ht="21.75" customHeight="1" thickBot="1" x14ac:dyDescent="0.3">
      <c r="A32" s="4">
        <v>20</v>
      </c>
      <c r="B32" s="18" t="s">
        <v>9</v>
      </c>
      <c r="C32" s="19">
        <f>FV($D$23,$A32*12,$D$21*-1)</f>
        <v>225039.68001941612</v>
      </c>
      <c r="D32" s="20">
        <f>C32*rendimento_carteira</f>
        <v>1350.2380801164968</v>
      </c>
    </row>
    <row r="33" spans="1:4" ht="21.75" customHeight="1" thickBot="1" x14ac:dyDescent="0.3">
      <c r="A33" s="4">
        <v>30</v>
      </c>
      <c r="B33" s="21" t="s">
        <v>10</v>
      </c>
      <c r="C33" s="22">
        <f>FV($D$23,$A33*12,$D$21*-1)</f>
        <v>864433.93100094295</v>
      </c>
      <c r="D33" s="23">
        <f>C33*rendimento_carteira</f>
        <v>5186.6035860056581</v>
      </c>
    </row>
    <row r="34" spans="1:4" x14ac:dyDescent="0.25"/>
    <row r="35" spans="1:4" ht="15.75" thickBot="1" x14ac:dyDescent="0.3"/>
    <row r="36" spans="1:4" ht="21.75" customHeight="1" x14ac:dyDescent="0.25">
      <c r="B36" s="34" t="s">
        <v>45</v>
      </c>
      <c r="C36" s="35" t="s">
        <v>48</v>
      </c>
      <c r="D36" s="36"/>
    </row>
    <row r="37" spans="1:4" ht="18" customHeight="1" x14ac:dyDescent="0.3">
      <c r="B37" s="37" t="s">
        <v>49</v>
      </c>
      <c r="C37" s="85">
        <f>aporte</f>
        <v>200</v>
      </c>
      <c r="D37" s="2"/>
    </row>
    <row r="38" spans="1:4" x14ac:dyDescent="0.25">
      <c r="B38" s="1"/>
      <c r="C38" s="86"/>
      <c r="D38" s="2"/>
    </row>
    <row r="39" spans="1:4" ht="17.25" x14ac:dyDescent="0.25">
      <c r="B39" s="38" t="s">
        <v>50</v>
      </c>
      <c r="C39" s="87" t="s">
        <v>51</v>
      </c>
      <c r="D39" s="39" t="s">
        <v>52</v>
      </c>
    </row>
    <row r="40" spans="1:4" ht="17.25" x14ac:dyDescent="0.25">
      <c r="B40" s="40" t="s">
        <v>53</v>
      </c>
      <c r="C40" s="88">
        <f>VLOOKUP($C$36&amp;"-"&amp;B40,Apoio!B12:E30,4,FALSE)</f>
        <v>0.3</v>
      </c>
      <c r="D40" s="42">
        <f>C40*$C$37</f>
        <v>60</v>
      </c>
    </row>
    <row r="41" spans="1:4" ht="17.25" x14ac:dyDescent="0.25">
      <c r="B41" s="40" t="s">
        <v>54</v>
      </c>
      <c r="C41" s="88">
        <f>VLOOKUP($C$36&amp;"-"&amp;B41,Apoio!B13:E31,4,FALSE)</f>
        <v>0.5</v>
      </c>
      <c r="D41" s="42">
        <f t="shared" ref="D41:D45" si="0">C41*$C$37</f>
        <v>100</v>
      </c>
    </row>
    <row r="42" spans="1:4" ht="17.25" x14ac:dyDescent="0.25">
      <c r="B42" s="40" t="s">
        <v>55</v>
      </c>
      <c r="C42" s="88">
        <f>VLOOKUP($C$36&amp;"-"&amp;B42,Apoio!B14:E32,4,FALSE)</f>
        <v>0.1</v>
      </c>
      <c r="D42" s="42">
        <f t="shared" si="0"/>
        <v>20</v>
      </c>
    </row>
    <row r="43" spans="1:4" ht="17.25" x14ac:dyDescent="0.25">
      <c r="B43" s="40" t="s">
        <v>56</v>
      </c>
      <c r="C43" s="88">
        <f>VLOOKUP($C$36&amp;"-"&amp;B43,Apoio!B15:E33,4,FALSE)</f>
        <v>0.1</v>
      </c>
      <c r="D43" s="42">
        <f t="shared" si="0"/>
        <v>20</v>
      </c>
    </row>
    <row r="44" spans="1:4" ht="17.25" x14ac:dyDescent="0.25">
      <c r="B44" s="40" t="s">
        <v>57</v>
      </c>
      <c r="C44" s="88">
        <f>VLOOKUP($C$36&amp;"-"&amp;B44,Apoio!B16:E34,4,FALSE)</f>
        <v>0</v>
      </c>
      <c r="D44" s="42">
        <f t="shared" si="0"/>
        <v>0</v>
      </c>
    </row>
    <row r="45" spans="1:4" ht="17.25" x14ac:dyDescent="0.25">
      <c r="B45" s="40" t="s">
        <v>58</v>
      </c>
      <c r="C45" s="88">
        <f>VLOOKUP($C$36&amp;"-"&amp;B45,Apoio!B17:E35,4,FALSE)</f>
        <v>0</v>
      </c>
      <c r="D45" s="42">
        <f t="shared" si="0"/>
        <v>0</v>
      </c>
    </row>
    <row r="46" spans="1:4" ht="17.25" x14ac:dyDescent="0.3">
      <c r="B46" s="93"/>
      <c r="C46" s="92"/>
      <c r="D46" s="94">
        <f>SUM(D40:D45)</f>
        <v>200</v>
      </c>
    </row>
    <row r="47" spans="1:4" ht="308.25" customHeight="1" thickBot="1" x14ac:dyDescent="0.3">
      <c r="B47" s="89"/>
      <c r="C47" s="90"/>
      <c r="D47" s="91"/>
    </row>
    <row r="48" spans="1:4" x14ac:dyDescent="0.25"/>
    <row r="49" x14ac:dyDescent="0.25"/>
    <row r="50" x14ac:dyDescent="0.25"/>
    <row r="65" x14ac:dyDescent="0.25"/>
    <row r="66" ht="24.75" hidden="1" customHeight="1" x14ac:dyDescent="0.25"/>
  </sheetData>
  <mergeCells count="12">
    <mergeCell ref="B11:D11"/>
    <mergeCell ref="B28:C28"/>
    <mergeCell ref="B15:C15"/>
    <mergeCell ref="B16:C16"/>
    <mergeCell ref="B17:C17"/>
    <mergeCell ref="B14:D14"/>
    <mergeCell ref="B20:D20"/>
    <mergeCell ref="B21:C21"/>
    <mergeCell ref="B22:C22"/>
    <mergeCell ref="B23:C23"/>
    <mergeCell ref="B24:C24"/>
    <mergeCell ref="B25:C25"/>
  </mergeCells>
  <dataValidations count="1">
    <dataValidation type="list" allowBlank="1" showInputMessage="1" showErrorMessage="1" sqref="C36" xr:uid="{4A8AB0BA-AF5B-41CB-ACE5-649E2143316F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D750-D9D5-4764-A47B-3A9948BFB552}">
  <dimension ref="B1:H30"/>
  <sheetViews>
    <sheetView zoomScale="80" zoomScaleNormal="80" workbookViewId="0">
      <selection activeCell="E22" sqref="E22"/>
    </sheetView>
  </sheetViews>
  <sheetFormatPr defaultRowHeight="15" x14ac:dyDescent="0.25"/>
  <cols>
    <col min="2" max="2" width="39.85546875" customWidth="1"/>
    <col min="3" max="3" width="30.85546875" customWidth="1"/>
    <col min="4" max="4" width="23.42578125" customWidth="1"/>
    <col min="5" max="5" width="21.7109375" customWidth="1"/>
    <col min="7" max="7" width="27.7109375" customWidth="1"/>
    <col min="8" max="8" width="17.28515625" customWidth="1"/>
    <col min="9" max="9" width="23.28515625" customWidth="1"/>
  </cols>
  <sheetData>
    <row r="1" spans="2:8" ht="15.75" thickBot="1" x14ac:dyDescent="0.3"/>
    <row r="2" spans="2:8" ht="36" customHeight="1" x14ac:dyDescent="0.25">
      <c r="B2" s="82" t="s">
        <v>16</v>
      </c>
      <c r="C2" s="83"/>
      <c r="D2" s="83"/>
      <c r="E2" s="84"/>
    </row>
    <row r="3" spans="2:8" ht="24" customHeight="1" x14ac:dyDescent="0.25">
      <c r="B3" s="26" t="s">
        <v>17</v>
      </c>
      <c r="C3" s="24" t="s">
        <v>18</v>
      </c>
      <c r="D3" s="24" t="s">
        <v>19</v>
      </c>
      <c r="E3" s="27" t="s">
        <v>20</v>
      </c>
    </row>
    <row r="4" spans="2:8" ht="33" customHeight="1" x14ac:dyDescent="0.25">
      <c r="B4" s="28" t="s">
        <v>21</v>
      </c>
      <c r="C4" s="25" t="s">
        <v>22</v>
      </c>
      <c r="D4" s="25" t="s">
        <v>23</v>
      </c>
      <c r="E4" s="29" t="s">
        <v>24</v>
      </c>
    </row>
    <row r="5" spans="2:8" ht="33" customHeight="1" x14ac:dyDescent="0.25">
      <c r="B5" s="28" t="s">
        <v>25</v>
      </c>
      <c r="C5" s="25" t="s">
        <v>26</v>
      </c>
      <c r="D5" s="25" t="s">
        <v>27</v>
      </c>
      <c r="E5" s="29" t="s">
        <v>28</v>
      </c>
    </row>
    <row r="6" spans="2:8" ht="28.5" x14ac:dyDescent="0.25">
      <c r="B6" s="28" t="s">
        <v>29</v>
      </c>
      <c r="C6" s="25" t="s">
        <v>30</v>
      </c>
      <c r="D6" s="25" t="s">
        <v>31</v>
      </c>
      <c r="E6" s="29" t="s">
        <v>32</v>
      </c>
    </row>
    <row r="7" spans="2:8" ht="28.5" x14ac:dyDescent="0.25">
      <c r="B7" s="28" t="s">
        <v>33</v>
      </c>
      <c r="C7" s="25" t="s">
        <v>34</v>
      </c>
      <c r="D7" s="25" t="s">
        <v>35</v>
      </c>
      <c r="E7" s="29" t="s">
        <v>36</v>
      </c>
    </row>
    <row r="8" spans="2:8" ht="28.5" x14ac:dyDescent="0.25">
      <c r="B8" s="28" t="s">
        <v>37</v>
      </c>
      <c r="C8" s="25" t="s">
        <v>38</v>
      </c>
      <c r="D8" s="25" t="s">
        <v>39</v>
      </c>
      <c r="E8" s="29" t="s">
        <v>40</v>
      </c>
    </row>
    <row r="9" spans="2:8" ht="35.25" customHeight="1" thickBot="1" x14ac:dyDescent="0.3">
      <c r="B9" s="30" t="s">
        <v>41</v>
      </c>
      <c r="C9" s="31" t="s">
        <v>42</v>
      </c>
      <c r="D9" s="31" t="s">
        <v>43</v>
      </c>
      <c r="E9" s="32" t="s">
        <v>44</v>
      </c>
    </row>
    <row r="10" spans="2:8" ht="35.25" customHeight="1" x14ac:dyDescent="0.25">
      <c r="B10" s="62"/>
      <c r="C10" s="63"/>
      <c r="D10" s="63"/>
      <c r="E10" s="64"/>
    </row>
    <row r="11" spans="2:8" ht="28.5" customHeight="1" thickBot="1" x14ac:dyDescent="0.3"/>
    <row r="12" spans="2:8" ht="33.75" customHeight="1" x14ac:dyDescent="0.25">
      <c r="B12" s="43" t="s">
        <v>61</v>
      </c>
      <c r="C12" s="46" t="s">
        <v>59</v>
      </c>
      <c r="D12" s="46" t="s">
        <v>50</v>
      </c>
      <c r="E12" s="47" t="s">
        <v>60</v>
      </c>
    </row>
    <row r="13" spans="2:8" ht="31.5" customHeight="1" x14ac:dyDescent="0.25">
      <c r="B13" s="44" t="str">
        <f t="shared" ref="B13:B30" si="0">C13&amp;"-"&amp;D13</f>
        <v>CONSERVADOR-PAPEL</v>
      </c>
      <c r="C13" s="48" t="s">
        <v>48</v>
      </c>
      <c r="D13" s="41" t="s">
        <v>53</v>
      </c>
      <c r="E13" s="49">
        <v>0.3</v>
      </c>
    </row>
    <row r="14" spans="2:8" ht="17.25" x14ac:dyDescent="0.25">
      <c r="B14" s="44" t="str">
        <f t="shared" si="0"/>
        <v>CONSERVADOR-TIJOLO</v>
      </c>
      <c r="C14" s="48" t="s">
        <v>48</v>
      </c>
      <c r="D14" s="41" t="s">
        <v>54</v>
      </c>
      <c r="E14" s="49">
        <v>0.5</v>
      </c>
    </row>
    <row r="15" spans="2:8" ht="17.25" x14ac:dyDescent="0.25">
      <c r="B15" s="44" t="str">
        <f t="shared" si="0"/>
        <v>CONSERVADOR-HÍBRIDOS</v>
      </c>
      <c r="C15" s="48" t="s">
        <v>48</v>
      </c>
      <c r="D15" s="41" t="s">
        <v>55</v>
      </c>
      <c r="E15" s="49">
        <v>0.1</v>
      </c>
      <c r="H15" s="33"/>
    </row>
    <row r="16" spans="2:8" ht="17.25" x14ac:dyDescent="0.25">
      <c r="B16" s="44" t="str">
        <f t="shared" si="0"/>
        <v>CONSERVADOR-FOFs</v>
      </c>
      <c r="C16" s="48" t="s">
        <v>48</v>
      </c>
      <c r="D16" s="41" t="s">
        <v>56</v>
      </c>
      <c r="E16" s="49">
        <v>0.1</v>
      </c>
    </row>
    <row r="17" spans="2:5" ht="17.25" x14ac:dyDescent="0.25">
      <c r="B17" s="44" t="str">
        <f t="shared" si="0"/>
        <v>CONSERVADOR-DESENVOLVIMENTO</v>
      </c>
      <c r="C17" s="48" t="s">
        <v>48</v>
      </c>
      <c r="D17" s="41" t="s">
        <v>57</v>
      </c>
      <c r="E17" s="49">
        <v>0</v>
      </c>
    </row>
    <row r="18" spans="2:5" ht="18" thickBot="1" x14ac:dyDescent="0.3">
      <c r="B18" s="45" t="str">
        <f t="shared" si="0"/>
        <v>CONSERVADOR-HOTELARIAS</v>
      </c>
      <c r="C18" s="50" t="s">
        <v>48</v>
      </c>
      <c r="D18" s="51" t="s">
        <v>58</v>
      </c>
      <c r="E18" s="52">
        <v>0</v>
      </c>
    </row>
    <row r="19" spans="2:5" ht="18" thickBot="1" x14ac:dyDescent="0.35">
      <c r="B19" s="60" t="str">
        <f t="shared" si="0"/>
        <v>MODERADO-PAPEL</v>
      </c>
      <c r="C19" s="53" t="s">
        <v>47</v>
      </c>
      <c r="D19" s="54" t="s">
        <v>53</v>
      </c>
      <c r="E19" s="55">
        <v>0.32</v>
      </c>
    </row>
    <row r="20" spans="2:5" ht="18" thickBot="1" x14ac:dyDescent="0.35">
      <c r="B20" s="60" t="str">
        <f t="shared" si="0"/>
        <v>MODERADO-TIJOLO</v>
      </c>
      <c r="C20" s="56" t="s">
        <v>47</v>
      </c>
      <c r="D20" s="41" t="s">
        <v>54</v>
      </c>
      <c r="E20" s="57">
        <v>0.35</v>
      </c>
    </row>
    <row r="21" spans="2:5" ht="18" thickBot="1" x14ac:dyDescent="0.35">
      <c r="B21" s="60" t="str">
        <f t="shared" si="0"/>
        <v>MODERADO-HÍBRIDOS</v>
      </c>
      <c r="C21" s="56" t="s">
        <v>47</v>
      </c>
      <c r="D21" s="41" t="s">
        <v>55</v>
      </c>
      <c r="E21" s="57">
        <v>0.08</v>
      </c>
    </row>
    <row r="22" spans="2:5" ht="18" thickBot="1" x14ac:dyDescent="0.35">
      <c r="B22" s="60" t="str">
        <f t="shared" si="0"/>
        <v>MODERADO-FOFs</v>
      </c>
      <c r="C22" s="56" t="s">
        <v>47</v>
      </c>
      <c r="D22" s="41" t="s">
        <v>56</v>
      </c>
      <c r="E22" s="57">
        <v>0.05</v>
      </c>
    </row>
    <row r="23" spans="2:5" ht="18" thickBot="1" x14ac:dyDescent="0.35">
      <c r="B23" s="60" t="str">
        <f t="shared" si="0"/>
        <v>MODERADO-DESENVOLVIMENTO</v>
      </c>
      <c r="C23" s="56" t="s">
        <v>47</v>
      </c>
      <c r="D23" s="41" t="s">
        <v>57</v>
      </c>
      <c r="E23" s="57">
        <v>0.1</v>
      </c>
    </row>
    <row r="24" spans="2:5" ht="18" thickBot="1" x14ac:dyDescent="0.35">
      <c r="B24" s="60" t="str">
        <f t="shared" si="0"/>
        <v>MODERADO-HOTELARIAS</v>
      </c>
      <c r="C24" s="58" t="s">
        <v>47</v>
      </c>
      <c r="D24" s="51" t="s">
        <v>58</v>
      </c>
      <c r="E24" s="59">
        <v>0.1</v>
      </c>
    </row>
    <row r="25" spans="2:5" ht="18" thickBot="1" x14ac:dyDescent="0.35">
      <c r="B25" s="60" t="str">
        <f t="shared" si="0"/>
        <v>AGRESSIVO-PAPEL</v>
      </c>
      <c r="C25" s="53" t="s">
        <v>46</v>
      </c>
      <c r="D25" s="54" t="s">
        <v>53</v>
      </c>
      <c r="E25" s="55">
        <v>0.5</v>
      </c>
    </row>
    <row r="26" spans="2:5" ht="18" thickBot="1" x14ac:dyDescent="0.35">
      <c r="B26" s="60" t="str">
        <f t="shared" si="0"/>
        <v>AGRESSIVO-TIJOLO</v>
      </c>
      <c r="C26" s="56" t="s">
        <v>46</v>
      </c>
      <c r="D26" s="41" t="s">
        <v>54</v>
      </c>
      <c r="E26" s="57">
        <v>0.1</v>
      </c>
    </row>
    <row r="27" spans="2:5" ht="18" thickBot="1" x14ac:dyDescent="0.35">
      <c r="B27" s="60" t="str">
        <f t="shared" si="0"/>
        <v>AGRESSIVO-HÍBRIDOS</v>
      </c>
      <c r="C27" s="56" t="s">
        <v>46</v>
      </c>
      <c r="D27" s="41" t="s">
        <v>55</v>
      </c>
      <c r="E27" s="57">
        <v>0.05</v>
      </c>
    </row>
    <row r="28" spans="2:5" ht="18" thickBot="1" x14ac:dyDescent="0.35">
      <c r="B28" s="60" t="str">
        <f t="shared" si="0"/>
        <v>AGRESSIVO-FOFs</v>
      </c>
      <c r="C28" s="56" t="s">
        <v>46</v>
      </c>
      <c r="D28" s="41" t="s">
        <v>56</v>
      </c>
      <c r="E28" s="57">
        <v>0.05</v>
      </c>
    </row>
    <row r="29" spans="2:5" ht="18" thickBot="1" x14ac:dyDescent="0.35">
      <c r="B29" s="60" t="str">
        <f t="shared" si="0"/>
        <v>AGRESSIVO-DESENVOLVIMENTO</v>
      </c>
      <c r="C29" s="56" t="s">
        <v>46</v>
      </c>
      <c r="D29" s="41" t="s">
        <v>57</v>
      </c>
      <c r="E29" s="57">
        <v>0.2</v>
      </c>
    </row>
    <row r="30" spans="2:5" ht="18" thickBot="1" x14ac:dyDescent="0.35">
      <c r="B30" s="61" t="str">
        <f t="shared" si="0"/>
        <v>AGRESSIVO-HOTELARIAS</v>
      </c>
      <c r="C30" s="58" t="s">
        <v>46</v>
      </c>
      <c r="D30" s="51" t="s">
        <v>58</v>
      </c>
      <c r="E30" s="59">
        <v>0.1</v>
      </c>
    </row>
  </sheetData>
  <mergeCells count="1">
    <mergeCell ref="B2:E2"/>
  </mergeCells>
  <hyperlinks>
    <hyperlink ref="B4" r:id="rId1" display="https://www.google.com/search?q=Tijol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D" xr:uid="{C0E0BCB0-9276-4DC7-874E-F572F124B498}"/>
    <hyperlink ref="B5" r:id="rId2" display="https://www.google.com/search?q=Papel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E" xr:uid="{4686FF65-104A-4D3F-94A9-441FEB00B5F2}"/>
    <hyperlink ref="B6" r:id="rId3" display="https://www.google.com/search?q=H%C3%ADbrid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F" xr:uid="{D283116C-FA4C-4B20-B100-45EC88A39D8A}"/>
    <hyperlink ref="B7" r:id="rId4" display="https://www.google.com/search?q=Fundo+de+Fundos+%28FoFs%29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G" xr:uid="{83B56B1A-9257-4D95-9A3F-E4ED5FC5B168}"/>
    <hyperlink ref="B8" r:id="rId5" display="https://www.google.com/search?q=Desenvolviment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H" xr:uid="{B3E32304-C7FC-41D7-9C16-FB91AD48276E}"/>
    <hyperlink ref="B9" r:id="rId6" display="https://www.google.com/search?q=Fiagro&amp;oq=tabela+de+tipos+de+fundos+i&amp;gs_lcrp=EgZjaHJvbWUqBwgCECEYoAEyBggAEEUYOTIHCAEQIRigATIHCAIQIRigATIHCAMQIRigATIHCAQQIRigATIHCAUQIRifBTIHCAYQIRifBTIHCAcQIRifBTIHCAgQIRifBTIHCAkQIRifBdIBCTEzNzQ5ajBqN6gCALACAA&amp;sourceid=chrome&amp;ie=UTF-8&amp;mstk=AUtExfD1k5iHjY4bAMmZ3su9FR9NtZ4LYHErJ94t-HOjr1aNSLK5ESevvFCEY8mZwXWUlz9Tai-_e869yRmywpkfr31U86GDeXD-yNBNLaf2EoucBDIio54ILJksCuFZyKQ4kO_bE1AkoKBFOFn9DaUjaZuJORl0pffp7252T-CYxVElDLg&amp;csui=3&amp;ved=2ahUKEwiiv-z79MeRAxXKD7kGHcNdE3YQgK4QegQIBBAI" xr:uid="{B6E5D383-AB29-407A-9556-5C2056B1861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Ferramenta</vt:lpstr>
      <vt:lpstr>Apoio</vt:lpstr>
      <vt:lpstr>aporte</vt:lpstr>
      <vt:lpstr>patrimonio</vt:lpstr>
      <vt:lpstr>qtd_anos</vt:lpstr>
      <vt:lpstr>rendimento_carteira</vt:lpstr>
      <vt:lpstr>salario</vt:lpstr>
      <vt:lpstr>sujestao_investimento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Geazi</dc:creator>
  <cp:lastModifiedBy>Geazi</cp:lastModifiedBy>
  <dcterms:created xsi:type="dcterms:W3CDTF">2025-12-18T15:37:58Z</dcterms:created>
  <dcterms:modified xsi:type="dcterms:W3CDTF">2025-12-19T15:04:13Z</dcterms:modified>
</cp:coreProperties>
</file>